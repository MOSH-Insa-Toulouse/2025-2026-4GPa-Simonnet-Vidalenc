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si\Documents\INSA\4A GP\MOSH-Insa-Toulouse\2025-2026-4GPa-Simonnet-Vidalenc\"/>
    </mc:Choice>
  </mc:AlternateContent>
  <xr:revisionPtr revIDLastSave="0" documentId="13_ncr:1_{38722493-CABE-4059-9F62-DDABD8E7F36D}" xr6:coauthVersionLast="47" xr6:coauthVersionMax="47" xr10:uidLastSave="{00000000-0000-0000-0000-000000000000}"/>
  <bookViews>
    <workbookView xWindow="-98" yWindow="-98" windowWidth="21795" windowHeight="12975" xr2:uid="{1C335710-D8A7-422C-BCF1-983233F5525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8" i="1"/>
  <c r="P7" i="1"/>
  <c r="P5" i="1"/>
  <c r="P4" i="1"/>
  <c r="P3" i="1"/>
  <c r="N8" i="1"/>
  <c r="N7" i="1"/>
  <c r="N6" i="1"/>
  <c r="N5" i="1"/>
  <c r="N4" i="1"/>
  <c r="N3" i="1"/>
  <c r="L8" i="1"/>
  <c r="L7" i="1"/>
  <c r="L6" i="1"/>
  <c r="L5" i="1"/>
  <c r="L4" i="1"/>
  <c r="L3" i="1"/>
  <c r="G8" i="1"/>
  <c r="G7" i="1"/>
  <c r="G6" i="1"/>
  <c r="G5" i="1"/>
  <c r="G4" i="1"/>
  <c r="G3" i="1"/>
  <c r="E8" i="1"/>
  <c r="E7" i="1"/>
  <c r="E6" i="1"/>
  <c r="E5" i="1"/>
  <c r="E4" i="1"/>
  <c r="E3" i="1"/>
  <c r="C7" i="1"/>
  <c r="C8" i="1"/>
  <c r="C6" i="1"/>
  <c r="C5" i="1"/>
  <c r="C4" i="1"/>
  <c r="C3" i="1"/>
  <c r="A7" i="1"/>
  <c r="A8" i="1"/>
  <c r="A6" i="1"/>
  <c r="A5" i="1"/>
  <c r="A4" i="1"/>
  <c r="A3" i="1"/>
</calcChain>
</file>

<file path=xl/sharedStrings.xml><?xml version="1.0" encoding="utf-8"?>
<sst xmlns="http://schemas.openxmlformats.org/spreadsheetml/2006/main" count="12" uniqueCount="8">
  <si>
    <t>Déformation</t>
  </si>
  <si>
    <t>ΔR/R0 (%) HB</t>
  </si>
  <si>
    <t>ΔR/R0 (%) 3B</t>
  </si>
  <si>
    <t>ΔR/R0 (%) H</t>
  </si>
  <si>
    <t>Traction</t>
  </si>
  <si>
    <t>Compression</t>
  </si>
  <si>
    <t>ΔR/R0 (%) B</t>
  </si>
  <si>
    <t>Angle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</si>
</sst>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Résistance en fonction de la déformation - HB - traction </a:t>
            </a:r>
          </a:p>
        </c:rich>
      </c:tx>
      <c:layout>
        <c:manualLayout>
          <c:xMode val="edge"/>
          <c:yMode val="edge"/>
          <c:x val="0.13454865552883385"/>
          <c:y val="1.987083643391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3026851046410485E-2"/>
                  <c:y val="-7.64801895583917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Feuil1!$A$3:$A$8</c:f>
              <c:numCache>
                <c:formatCode>General</c:formatCode>
                <c:ptCount val="6"/>
                <c:pt idx="0">
                  <c:v>1.4285714285714287E-2</c:v>
                </c:pt>
                <c:pt idx="1">
                  <c:v>1.0526315789473686E-2</c:v>
                </c:pt>
                <c:pt idx="2">
                  <c:v>8.3333333333333332E-3</c:v>
                </c:pt>
                <c:pt idx="3">
                  <c:v>6.8965517241379318E-3</c:v>
                </c:pt>
                <c:pt idx="4">
                  <c:v>5.8823529411764705E-3</c:v>
                </c:pt>
                <c:pt idx="5">
                  <c:v>5.1282051282051282E-3</c:v>
                </c:pt>
              </c:numCache>
            </c:numRef>
          </c:xVal>
          <c:yVal>
            <c:numRef>
              <c:f>Feuil1!$C$3:$C$8</c:f>
              <c:numCache>
                <c:formatCode>General</c:formatCode>
                <c:ptCount val="6"/>
                <c:pt idx="0">
                  <c:v>0.59090909090909094</c:v>
                </c:pt>
                <c:pt idx="1">
                  <c:v>0.52272727272727271</c:v>
                </c:pt>
                <c:pt idx="2">
                  <c:v>0.16818181818181818</c:v>
                </c:pt>
                <c:pt idx="3">
                  <c:v>0.20454545454545456</c:v>
                </c:pt>
                <c:pt idx="4">
                  <c:v>0.42045454545454547</c:v>
                </c:pt>
                <c:pt idx="5">
                  <c:v>0.18409090909090908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FB-49C5-9081-0E353310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112144"/>
        <c:axId val="1178113104"/>
      </c:scatterChart>
      <c:valAx>
        <c:axId val="117811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 sz="1000" b="0" i="1" u="none" strike="noStrike" baseline="0">
                    <a:effectLst/>
                  </a:rPr>
                  <a:t>Ԑ</a:t>
                </a:r>
                <a:r>
                  <a:rPr lang="fr-FR" sz="1000" b="0" i="1" u="none" strike="noStrike" baseline="0">
                    <a:effectLst/>
                  </a:rPr>
                  <a:t> 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8113104"/>
        <c:crosses val="autoZero"/>
        <c:crossBetween val="midCat"/>
      </c:valAx>
      <c:valAx>
        <c:axId val="117811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fr-FR"/>
                  <a:t>R/R0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811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Résistance en fonction de la déformation - 3B - traction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791491450730954E-2"/>
                  <c:y val="-3.12204581925784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Feuil1!$A$3:$A$8</c:f>
              <c:numCache>
                <c:formatCode>General</c:formatCode>
                <c:ptCount val="6"/>
                <c:pt idx="0">
                  <c:v>1.4285714285714287E-2</c:v>
                </c:pt>
                <c:pt idx="1">
                  <c:v>1.0526315789473686E-2</c:v>
                </c:pt>
                <c:pt idx="2">
                  <c:v>8.3333333333333332E-3</c:v>
                </c:pt>
                <c:pt idx="3">
                  <c:v>6.8965517241379318E-3</c:v>
                </c:pt>
                <c:pt idx="4">
                  <c:v>5.8823529411764705E-3</c:v>
                </c:pt>
                <c:pt idx="5">
                  <c:v>5.1282051282051282E-3</c:v>
                </c:pt>
              </c:numCache>
            </c:numRef>
          </c:xVal>
          <c:yVal>
            <c:numRef>
              <c:f>Feuil1!$E$3:$E$8</c:f>
              <c:numCache>
                <c:formatCode>General</c:formatCode>
                <c:ptCount val="6"/>
                <c:pt idx="0">
                  <c:v>4.105833333333333</c:v>
                </c:pt>
                <c:pt idx="1">
                  <c:v>3.5</c:v>
                </c:pt>
                <c:pt idx="2">
                  <c:v>3.1666666666666665</c:v>
                </c:pt>
                <c:pt idx="3">
                  <c:v>2.3333333333333335</c:v>
                </c:pt>
                <c:pt idx="4">
                  <c:v>0.83333333333333337</c:v>
                </c:pt>
                <c:pt idx="5">
                  <c:v>0.41666666666666669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5-4C34-B28B-77E5EAEF3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751696"/>
        <c:axId val="1116502800"/>
      </c:scatterChart>
      <c:valAx>
        <c:axId val="107075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Ԑ</a:t>
                </a:r>
                <a:r>
                  <a:rPr lang="fr-FR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endParaRPr lang="fr-F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502800"/>
        <c:crosses val="autoZero"/>
        <c:crossBetween val="midCat"/>
      </c:valAx>
      <c:valAx>
        <c:axId val="111650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</a:t>
                </a: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R/R0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075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Résistance en fonction de la déformation - B - traction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Feuil1!$A$3:$A$8</c:f>
              <c:numCache>
                <c:formatCode>General</c:formatCode>
                <c:ptCount val="6"/>
                <c:pt idx="0">
                  <c:v>1.4285714285714287E-2</c:v>
                </c:pt>
                <c:pt idx="1">
                  <c:v>1.0526315789473686E-2</c:v>
                </c:pt>
                <c:pt idx="2">
                  <c:v>8.3333333333333332E-3</c:v>
                </c:pt>
                <c:pt idx="3">
                  <c:v>6.8965517241379318E-3</c:v>
                </c:pt>
                <c:pt idx="4">
                  <c:v>5.8823529411764705E-3</c:v>
                </c:pt>
                <c:pt idx="5">
                  <c:v>5.1282051282051282E-3</c:v>
                </c:pt>
              </c:numCache>
            </c:numRef>
          </c:xVal>
          <c:yVal>
            <c:numRef>
              <c:f>Feuil1!$G$3:$G$8</c:f>
              <c:numCache>
                <c:formatCode>General</c:formatCode>
                <c:ptCount val="6"/>
                <c:pt idx="0">
                  <c:v>0.7142857142857143</c:v>
                </c:pt>
                <c:pt idx="1">
                  <c:v>0.5</c:v>
                </c:pt>
                <c:pt idx="2">
                  <c:v>0.35714285714285715</c:v>
                </c:pt>
                <c:pt idx="3">
                  <c:v>0.2857142857142857</c:v>
                </c:pt>
                <c:pt idx="4">
                  <c:v>0.14285714285714285</c:v>
                </c:pt>
                <c:pt idx="5">
                  <c:v>7.1428571428571425E-2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54-45ED-B0DC-00F9CDAFE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916192"/>
        <c:axId val="1265913792"/>
      </c:scatterChart>
      <c:valAx>
        <c:axId val="126591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Ԑ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5913792"/>
        <c:crosses val="autoZero"/>
        <c:crossBetween val="midCat"/>
      </c:valAx>
      <c:valAx>
        <c:axId val="126591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</a:t>
                </a: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R/R0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591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Résistance en fonction de la déformation - Traction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Feuil1!$C$2</c:f>
              <c:strCache>
                <c:ptCount val="1"/>
                <c:pt idx="0">
                  <c:v>ΔR/R0 (%) HB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6990604077451646E-2"/>
                  <c:y val="5.118747976567467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t>y = 40,795x + 0,0014</a:t>
                    </a:r>
                    <a:endParaRPr lang="en-US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Feuil1!$A$3:$A$8</c:f>
              <c:numCache>
                <c:formatCode>General</c:formatCode>
                <c:ptCount val="6"/>
                <c:pt idx="0">
                  <c:v>1.4285714285714287E-2</c:v>
                </c:pt>
                <c:pt idx="1">
                  <c:v>1.0526315789473686E-2</c:v>
                </c:pt>
                <c:pt idx="2">
                  <c:v>8.3333333333333332E-3</c:v>
                </c:pt>
                <c:pt idx="3">
                  <c:v>6.8965517241379318E-3</c:v>
                </c:pt>
                <c:pt idx="4">
                  <c:v>5.8823529411764705E-3</c:v>
                </c:pt>
                <c:pt idx="5">
                  <c:v>5.1282051282051282E-3</c:v>
                </c:pt>
              </c:numCache>
            </c:numRef>
          </c:xVal>
          <c:yVal>
            <c:numRef>
              <c:f>Feuil1!$C$3:$C$8</c:f>
              <c:numCache>
                <c:formatCode>General</c:formatCode>
                <c:ptCount val="6"/>
                <c:pt idx="0">
                  <c:v>0.59090909090909094</c:v>
                </c:pt>
                <c:pt idx="1">
                  <c:v>0.52272727272727271</c:v>
                </c:pt>
                <c:pt idx="2">
                  <c:v>0.16818181818181818</c:v>
                </c:pt>
                <c:pt idx="3">
                  <c:v>0.20454545454545456</c:v>
                </c:pt>
                <c:pt idx="4">
                  <c:v>0.42045454545454547</c:v>
                </c:pt>
                <c:pt idx="5">
                  <c:v>0.18409090909090908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94-409E-B868-710A9FA8B7C4}"/>
            </c:ext>
          </c:extLst>
        </c:ser>
        <c:ser>
          <c:idx val="2"/>
          <c:order val="2"/>
          <c:tx>
            <c:strRef>
              <c:f>Feuil1!$G$2</c:f>
              <c:strCache>
                <c:ptCount val="1"/>
                <c:pt idx="0">
                  <c:v>ΔR/R0 (%) 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893190361777701"/>
                  <c:y val="2.623204403880755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accent3"/>
                        </a:solidFill>
                      </a:rPr>
                      <a:t>y = 68,412x - 0,2369</a:t>
                    </a:r>
                    <a:endParaRPr lang="en-US">
                      <a:solidFill>
                        <a:schemeClr val="accent3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Feuil1!$A$3:$A$8</c:f>
              <c:numCache>
                <c:formatCode>General</c:formatCode>
                <c:ptCount val="6"/>
                <c:pt idx="0">
                  <c:v>1.4285714285714287E-2</c:v>
                </c:pt>
                <c:pt idx="1">
                  <c:v>1.0526315789473686E-2</c:v>
                </c:pt>
                <c:pt idx="2">
                  <c:v>8.3333333333333332E-3</c:v>
                </c:pt>
                <c:pt idx="3">
                  <c:v>6.8965517241379318E-3</c:v>
                </c:pt>
                <c:pt idx="4">
                  <c:v>5.8823529411764705E-3</c:v>
                </c:pt>
                <c:pt idx="5">
                  <c:v>5.1282051282051282E-3</c:v>
                </c:pt>
              </c:numCache>
            </c:numRef>
          </c:xVal>
          <c:yVal>
            <c:numRef>
              <c:f>Feuil1!$G$3:$G$8</c:f>
              <c:numCache>
                <c:formatCode>General</c:formatCode>
                <c:ptCount val="6"/>
                <c:pt idx="0">
                  <c:v>0.7142857142857143</c:v>
                </c:pt>
                <c:pt idx="1">
                  <c:v>0.5</c:v>
                </c:pt>
                <c:pt idx="2">
                  <c:v>0.35714285714285715</c:v>
                </c:pt>
                <c:pt idx="3">
                  <c:v>0.2857142857142857</c:v>
                </c:pt>
                <c:pt idx="4">
                  <c:v>0.14285714285714285</c:v>
                </c:pt>
                <c:pt idx="5">
                  <c:v>7.1428571428571425E-2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94-409E-B868-710A9FA8B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097920"/>
        <c:axId val="1178112624"/>
      </c:scatterChart>
      <c:scatterChart>
        <c:scatterStyle val="lineMarker"/>
        <c:varyColors val="0"/>
        <c:ser>
          <c:idx val="1"/>
          <c:order val="1"/>
          <c:tx>
            <c:strRef>
              <c:f>Feuil1!$E$2</c:f>
              <c:strCache>
                <c:ptCount val="1"/>
                <c:pt idx="0">
                  <c:v>ΔR/R0 (%) 3B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accent2"/>
                        </a:solidFill>
                      </a:rPr>
                      <a:t>y = 391,55x - 0,9389</a:t>
                    </a:r>
                    <a:endParaRPr lang="en-US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Feuil1!$A$3:$A$8</c:f>
              <c:numCache>
                <c:formatCode>General</c:formatCode>
                <c:ptCount val="6"/>
                <c:pt idx="0">
                  <c:v>1.4285714285714287E-2</c:v>
                </c:pt>
                <c:pt idx="1">
                  <c:v>1.0526315789473686E-2</c:v>
                </c:pt>
                <c:pt idx="2">
                  <c:v>8.3333333333333332E-3</c:v>
                </c:pt>
                <c:pt idx="3">
                  <c:v>6.8965517241379318E-3</c:v>
                </c:pt>
                <c:pt idx="4">
                  <c:v>5.8823529411764705E-3</c:v>
                </c:pt>
                <c:pt idx="5">
                  <c:v>5.1282051282051282E-3</c:v>
                </c:pt>
              </c:numCache>
            </c:numRef>
          </c:xVal>
          <c:yVal>
            <c:numRef>
              <c:f>Feuil1!$E$3:$E$8</c:f>
              <c:numCache>
                <c:formatCode>General</c:formatCode>
                <c:ptCount val="6"/>
                <c:pt idx="0">
                  <c:v>4.105833333333333</c:v>
                </c:pt>
                <c:pt idx="1">
                  <c:v>3.5</c:v>
                </c:pt>
                <c:pt idx="2">
                  <c:v>3.1666666666666665</c:v>
                </c:pt>
                <c:pt idx="3">
                  <c:v>2.3333333333333335</c:v>
                </c:pt>
                <c:pt idx="4">
                  <c:v>0.83333333333333337</c:v>
                </c:pt>
                <c:pt idx="5">
                  <c:v>0.41666666666666669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94-409E-B868-710A9FA8B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516080"/>
        <c:axId val="1259522320"/>
      </c:scatterChart>
      <c:valAx>
        <c:axId val="111609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Ԑ</a:t>
                </a:r>
                <a:r>
                  <a:rPr lang="fr-FR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endParaRPr lang="fr-F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8112624"/>
        <c:crosses val="autoZero"/>
        <c:crossBetween val="midCat"/>
      </c:valAx>
      <c:valAx>
        <c:axId val="11781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</a:t>
                </a: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R/R0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097920"/>
        <c:crosses val="autoZero"/>
        <c:crossBetween val="midCat"/>
      </c:valAx>
      <c:valAx>
        <c:axId val="12595223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</a:t>
                </a: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R/R0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9516080"/>
        <c:crosses val="max"/>
        <c:crossBetween val="midCat"/>
      </c:valAx>
      <c:valAx>
        <c:axId val="1259516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952232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Résistance en fonction de la déformation - Compression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Feuil1!$L$2</c:f>
              <c:strCache>
                <c:ptCount val="1"/>
                <c:pt idx="0">
                  <c:v>ΔR/R0 (%) HB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FR" baseline="0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t>y = -65,31x + 0,3113</a:t>
                    </a:r>
                    <a:endParaRPr lang="fr-FR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Feuil1!$A$3:$A$8</c:f>
              <c:numCache>
                <c:formatCode>General</c:formatCode>
                <c:ptCount val="6"/>
                <c:pt idx="0">
                  <c:v>1.4285714285714287E-2</c:v>
                </c:pt>
                <c:pt idx="1">
                  <c:v>1.0526315789473686E-2</c:v>
                </c:pt>
                <c:pt idx="2">
                  <c:v>8.3333333333333332E-3</c:v>
                </c:pt>
                <c:pt idx="3">
                  <c:v>6.8965517241379318E-3</c:v>
                </c:pt>
                <c:pt idx="4">
                  <c:v>5.8823529411764705E-3</c:v>
                </c:pt>
                <c:pt idx="5">
                  <c:v>5.1282051282051282E-3</c:v>
                </c:pt>
              </c:numCache>
            </c:numRef>
          </c:xVal>
          <c:yVal>
            <c:numRef>
              <c:f>Feuil1!$L$3:$L$8</c:f>
              <c:numCache>
                <c:formatCode>General</c:formatCode>
                <c:ptCount val="6"/>
                <c:pt idx="0">
                  <c:v>-0.63272727272727269</c:v>
                </c:pt>
                <c:pt idx="1">
                  <c:v>-0.36181818181818182</c:v>
                </c:pt>
                <c:pt idx="2">
                  <c:v>-0.22454545454545455</c:v>
                </c:pt>
                <c:pt idx="3">
                  <c:v>-0.15454545454545454</c:v>
                </c:pt>
                <c:pt idx="4">
                  <c:v>-4.0909090909090909E-2</c:v>
                </c:pt>
                <c:pt idx="5">
                  <c:v>-5.1818181818181819E-2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48-4A2A-ADDC-CE2B016B3A3F}"/>
            </c:ext>
          </c:extLst>
        </c:ser>
        <c:ser>
          <c:idx val="1"/>
          <c:order val="1"/>
          <c:tx>
            <c:strRef>
              <c:f>Feuil1!$N$2</c:f>
              <c:strCache>
                <c:ptCount val="1"/>
                <c:pt idx="0">
                  <c:v>ΔR/R0 (%) 3B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accent2"/>
                        </a:solidFill>
                      </a:rPr>
                      <a:t>y = -20,154x - 0,0489</a:t>
                    </a:r>
                    <a:endParaRPr lang="en-US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Feuil1!$A$3:$A$8</c:f>
              <c:numCache>
                <c:formatCode>General</c:formatCode>
                <c:ptCount val="6"/>
                <c:pt idx="0">
                  <c:v>1.4285714285714287E-2</c:v>
                </c:pt>
                <c:pt idx="1">
                  <c:v>1.0526315789473686E-2</c:v>
                </c:pt>
                <c:pt idx="2">
                  <c:v>8.3333333333333332E-3</c:v>
                </c:pt>
                <c:pt idx="3">
                  <c:v>6.8965517241379318E-3</c:v>
                </c:pt>
                <c:pt idx="4">
                  <c:v>5.8823529411764705E-3</c:v>
                </c:pt>
                <c:pt idx="5">
                  <c:v>5.1282051282051282E-3</c:v>
                </c:pt>
              </c:numCache>
            </c:numRef>
          </c:xVal>
          <c:yVal>
            <c:numRef>
              <c:f>Feuil1!$N$3:$N$8</c:f>
              <c:numCache>
                <c:formatCode>General</c:formatCode>
                <c:ptCount val="6"/>
                <c:pt idx="0">
                  <c:v>-0.29473684210526313</c:v>
                </c:pt>
                <c:pt idx="1">
                  <c:v>-0.29473684210526313</c:v>
                </c:pt>
                <c:pt idx="2">
                  <c:v>-0.26105263157894737</c:v>
                </c:pt>
                <c:pt idx="3">
                  <c:v>-0.24</c:v>
                </c:pt>
                <c:pt idx="4">
                  <c:v>-0.12631578947368421</c:v>
                </c:pt>
                <c:pt idx="5">
                  <c:v>-0.10526315789473684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48-4A2A-ADDC-CE2B016B3A3F}"/>
            </c:ext>
          </c:extLst>
        </c:ser>
        <c:ser>
          <c:idx val="2"/>
          <c:order val="2"/>
          <c:tx>
            <c:strRef>
              <c:f>Feuil1!$P$2</c:f>
              <c:strCache>
                <c:ptCount val="1"/>
                <c:pt idx="0">
                  <c:v>ΔR/R0 (%) 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FR" baseline="0">
                        <a:solidFill>
                          <a:schemeClr val="accent3"/>
                        </a:solidFill>
                      </a:rPr>
                      <a:t>y = -65,22x + 0,117</a:t>
                    </a:r>
                    <a:endParaRPr lang="fr-FR">
                      <a:solidFill>
                        <a:schemeClr val="accent3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Feuil1!$A$3:$A$8</c:f>
              <c:numCache>
                <c:formatCode>General</c:formatCode>
                <c:ptCount val="6"/>
                <c:pt idx="0">
                  <c:v>1.4285714285714287E-2</c:v>
                </c:pt>
                <c:pt idx="1">
                  <c:v>1.0526315789473686E-2</c:v>
                </c:pt>
                <c:pt idx="2">
                  <c:v>8.3333333333333332E-3</c:v>
                </c:pt>
                <c:pt idx="3">
                  <c:v>6.8965517241379318E-3</c:v>
                </c:pt>
                <c:pt idx="4">
                  <c:v>5.8823529411764705E-3</c:v>
                </c:pt>
                <c:pt idx="5">
                  <c:v>5.1282051282051282E-3</c:v>
                </c:pt>
              </c:numCache>
            </c:numRef>
          </c:xVal>
          <c:yVal>
            <c:numRef>
              <c:f>Feuil1!$P$3:$P$8</c:f>
              <c:numCache>
                <c:formatCode>General</c:formatCode>
                <c:ptCount val="6"/>
                <c:pt idx="0">
                  <c:v>-0.71409574468085102</c:v>
                </c:pt>
                <c:pt idx="1">
                  <c:v>-0.66755319148936165</c:v>
                </c:pt>
                <c:pt idx="2">
                  <c:v>-0.57180851063829785</c:v>
                </c:pt>
                <c:pt idx="3">
                  <c:v>-0.28390957446808512</c:v>
                </c:pt>
                <c:pt idx="4">
                  <c:v>-0.28390957446808512</c:v>
                </c:pt>
                <c:pt idx="5">
                  <c:v>-0.10638297872340426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48-4A2A-ADDC-CE2B016B3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087776"/>
        <c:axId val="1064418960"/>
      </c:scatterChart>
      <c:valAx>
        <c:axId val="125708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Ԑ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4418960"/>
        <c:crosses val="autoZero"/>
        <c:crossBetween val="midCat"/>
      </c:valAx>
      <c:valAx>
        <c:axId val="106441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</a:t>
                </a: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R/R0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7087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61914</xdr:rowOff>
    </xdr:from>
    <xdr:to>
      <xdr:col>3</xdr:col>
      <xdr:colOff>176212</xdr:colOff>
      <xdr:row>21</xdr:row>
      <xdr:rowOff>66676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47BAF4D-C62D-F8B4-A55D-12DA97E18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492917</xdr:colOff>
      <xdr:row>9</xdr:row>
      <xdr:rowOff>66675</xdr:rowOff>
    </xdr:from>
    <xdr:to>
      <xdr:col>6</xdr:col>
      <xdr:colOff>509587</xdr:colOff>
      <xdr:row>23</xdr:row>
      <xdr:rowOff>147639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A4F7226-A1D7-1051-58C3-6CEDDA51B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800099</xdr:colOff>
      <xdr:row>11</xdr:row>
      <xdr:rowOff>19048</xdr:rowOff>
    </xdr:from>
    <xdr:to>
      <xdr:col>9</xdr:col>
      <xdr:colOff>528637</xdr:colOff>
      <xdr:row>23</xdr:row>
      <xdr:rowOff>100013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9942F6A-0EE4-1729-730D-1E26F33E5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217720</xdr:colOff>
      <xdr:row>8</xdr:row>
      <xdr:rowOff>172578</xdr:rowOff>
    </xdr:from>
    <xdr:to>
      <xdr:col>9</xdr:col>
      <xdr:colOff>653955</xdr:colOff>
      <xdr:row>38</xdr:row>
      <xdr:rowOff>142164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AE6B646F-B567-1852-A173-8F5C0FB22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197731</xdr:colOff>
      <xdr:row>9</xdr:row>
      <xdr:rowOff>24114</xdr:rowOff>
    </xdr:from>
    <xdr:to>
      <xdr:col>19</xdr:col>
      <xdr:colOff>470221</xdr:colOff>
      <xdr:row>39</xdr:row>
      <xdr:rowOff>30143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9D5C5EF0-3DD2-E7EB-C5F9-AD6F316C4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192C-16B8-4D82-ACD1-96618B7E8357}">
  <dimension ref="A1:R8"/>
  <sheetViews>
    <sheetView tabSelected="1" zoomScale="76" zoomScaleNormal="79" workbookViewId="0">
      <selection activeCell="K7" sqref="K7"/>
    </sheetView>
  </sheetViews>
  <sheetFormatPr baseColWidth="10" defaultRowHeight="14.25" x14ac:dyDescent="0.45"/>
  <cols>
    <col min="1" max="2" width="16.9296875" customWidth="1"/>
    <col min="3" max="3" width="19.9296875" customWidth="1"/>
    <col min="5" max="5" width="22.265625" customWidth="1"/>
    <col min="7" max="7" width="17.265625" customWidth="1"/>
    <col min="9" max="9" width="16.06640625" customWidth="1"/>
    <col min="12" max="12" width="13.6640625" customWidth="1"/>
    <col min="18" max="18" width="14.265625" customWidth="1"/>
  </cols>
  <sheetData>
    <row r="1" spans="1:18" x14ac:dyDescent="0.45">
      <c r="A1" s="1" t="s">
        <v>4</v>
      </c>
      <c r="B1" s="1"/>
      <c r="L1" s="1" t="s">
        <v>5</v>
      </c>
    </row>
    <row r="2" spans="1:18" x14ac:dyDescent="0.45">
      <c r="A2" t="s">
        <v>0</v>
      </c>
      <c r="B2" t="s">
        <v>7</v>
      </c>
      <c r="C2" t="s">
        <v>1</v>
      </c>
      <c r="E2" t="s">
        <v>2</v>
      </c>
      <c r="G2" t="s">
        <v>6</v>
      </c>
      <c r="I2" t="s">
        <v>3</v>
      </c>
      <c r="L2" t="s">
        <v>1</v>
      </c>
      <c r="N2" t="s">
        <v>2</v>
      </c>
      <c r="P2" t="s">
        <v>6</v>
      </c>
      <c r="R2" t="s">
        <v>3</v>
      </c>
    </row>
    <row r="3" spans="1:18" x14ac:dyDescent="0.45">
      <c r="A3">
        <f>0.02/1.4</f>
        <v>1.4285714285714287E-2</v>
      </c>
      <c r="B3">
        <v>170</v>
      </c>
      <c r="C3">
        <f>(700-440)/440</f>
        <v>0.59090909090909094</v>
      </c>
      <c r="E3">
        <f>(6127-1200)/1200</f>
        <v>4.105833333333333</v>
      </c>
      <c r="G3">
        <f>(2400-1400)/1400</f>
        <v>0.7142857142857143</v>
      </c>
      <c r="L3">
        <f>(404-1100)/1100</f>
        <v>-0.63272727272727269</v>
      </c>
      <c r="N3">
        <f>(670-950)/950</f>
        <v>-0.29473684210526313</v>
      </c>
      <c r="P3">
        <f>(430-1504)/1504</f>
        <v>-0.71409574468085102</v>
      </c>
    </row>
    <row r="4" spans="1:18" x14ac:dyDescent="0.45">
      <c r="A4">
        <f>0.02/1.9</f>
        <v>1.0526315789473686E-2</v>
      </c>
      <c r="B4">
        <v>150</v>
      </c>
      <c r="C4">
        <f>(670-440)/440</f>
        <v>0.52272727272727271</v>
      </c>
      <c r="E4">
        <f>(5400-1200)/1200</f>
        <v>3.5</v>
      </c>
      <c r="G4">
        <f>(2100-1400)/1400</f>
        <v>0.5</v>
      </c>
      <c r="L4">
        <f>(702-1100)/1100</f>
        <v>-0.36181818181818182</v>
      </c>
      <c r="N4">
        <f>(670-950)/950</f>
        <v>-0.29473684210526313</v>
      </c>
      <c r="P4">
        <f>(500-1504)/1504</f>
        <v>-0.66755319148936165</v>
      </c>
    </row>
    <row r="5" spans="1:18" x14ac:dyDescent="0.45">
      <c r="A5">
        <f>0.02/2.4</f>
        <v>8.3333333333333332E-3</v>
      </c>
      <c r="B5">
        <v>137</v>
      </c>
      <c r="C5">
        <f>(514-440)/440</f>
        <v>0.16818181818181818</v>
      </c>
      <c r="E5">
        <f>(5000-1200)/1200</f>
        <v>3.1666666666666665</v>
      </c>
      <c r="G5">
        <f>(1900-1400)/1400</f>
        <v>0.35714285714285715</v>
      </c>
      <c r="L5">
        <f>(853-1100)/1100</f>
        <v>-0.22454545454545455</v>
      </c>
      <c r="N5">
        <f>(702-950)/950</f>
        <v>-0.26105263157894737</v>
      </c>
      <c r="P5">
        <f>(644-1504)/1504</f>
        <v>-0.57180851063829785</v>
      </c>
    </row>
    <row r="6" spans="1:18" x14ac:dyDescent="0.45">
      <c r="A6">
        <f>0.02/2.9</f>
        <v>6.8965517241379318E-3</v>
      </c>
      <c r="B6">
        <v>100</v>
      </c>
      <c r="C6">
        <f>(530-440)/440</f>
        <v>0.20454545454545456</v>
      </c>
      <c r="E6">
        <f>(4000-1200)/1200</f>
        <v>2.3333333333333335</v>
      </c>
      <c r="G6">
        <f>(1800-1400)/1400</f>
        <v>0.2857142857142857</v>
      </c>
      <c r="L6">
        <f>(930-1100)/1100</f>
        <v>-0.15454545454545454</v>
      </c>
      <c r="N6">
        <f>(722-950)/950</f>
        <v>-0.24</v>
      </c>
      <c r="P6">
        <f>(1077-1504)/1504</f>
        <v>-0.28390957446808512</v>
      </c>
    </row>
    <row r="7" spans="1:18" x14ac:dyDescent="0.45">
      <c r="A7">
        <f>0.02/3.4</f>
        <v>5.8823529411764705E-3</v>
      </c>
      <c r="B7">
        <v>83</v>
      </c>
      <c r="C7">
        <f>(625-440)/440</f>
        <v>0.42045454545454547</v>
      </c>
      <c r="E7">
        <f>(2200-1200)/1200</f>
        <v>0.83333333333333337</v>
      </c>
      <c r="G7">
        <f>(1600-1400)/1400</f>
        <v>0.14285714285714285</v>
      </c>
      <c r="L7">
        <f>(1055-1100)/1100</f>
        <v>-4.0909090909090909E-2</v>
      </c>
      <c r="N7">
        <f>(830-950)/950</f>
        <v>-0.12631578947368421</v>
      </c>
      <c r="P7">
        <f>(1077-1504)/1504</f>
        <v>-0.28390957446808512</v>
      </c>
    </row>
    <row r="8" spans="1:18" x14ac:dyDescent="0.45">
      <c r="A8">
        <f>0.02/3.9</f>
        <v>5.1282051282051282E-3</v>
      </c>
      <c r="B8">
        <v>64</v>
      </c>
      <c r="C8">
        <f>(521-440)/440</f>
        <v>0.18409090909090908</v>
      </c>
      <c r="E8">
        <f>(1700-1200)/1200</f>
        <v>0.41666666666666669</v>
      </c>
      <c r="G8">
        <f>(1500-1400)/1400</f>
        <v>7.1428571428571425E-2</v>
      </c>
      <c r="L8">
        <f>(1043-1100)/1100</f>
        <v>-5.1818181818181819E-2</v>
      </c>
      <c r="N8">
        <f>(850-950)/950</f>
        <v>-0.10526315789473684</v>
      </c>
      <c r="P8">
        <f>(1344-1504)/1504</f>
        <v>-0.10638297872340426</v>
      </c>
      <c r="R8" s="2">
        <v>438293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Simonnet</dc:creator>
  <cp:lastModifiedBy>Max Simonnet</cp:lastModifiedBy>
  <dcterms:created xsi:type="dcterms:W3CDTF">2026-04-10T07:26:47Z</dcterms:created>
  <dcterms:modified xsi:type="dcterms:W3CDTF">2026-04-10T17:12:56Z</dcterms:modified>
</cp:coreProperties>
</file>